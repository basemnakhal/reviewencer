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  <sheet name="SerpAPI runs" sheetId="3" state="visible" r:id="rId3"/>
    <sheet name="Legend" sheetId="4" state="visible" r:id="rId4"/>
  </sheets>
  <definedNames>
    <definedName name="_xlnm._FilterDatabase" localSheetId="0" hidden="1">'Tracker'!$A$5:$Z$72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%;-0%;&quot;-&quot;"/>
  </numFmts>
  <fonts count="10">
    <font>
      <name val="Calibri"/>
      <family val="2"/>
      <color theme="1"/>
      <sz val="11"/>
      <scheme val="minor"/>
    </font>
    <font>
      <name val="Arial"/>
      <b val="1"/>
      <color rgb="001F2A5A"/>
      <sz val="14"/>
    </font>
    <font>
      <name val="Arial"/>
      <i val="1"/>
      <color rgb="006B7280"/>
      <sz val="10"/>
    </font>
    <font>
      <name val="Arial"/>
      <b val="1"/>
      <color rgb="001F2A5A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9CA3AF"/>
      <sz val="10"/>
    </font>
    <font>
      <name val="Arial"/>
      <b val="1"/>
      <color rgb="001F2A5A"/>
      <sz val="12"/>
    </font>
    <font>
      <name val="Arial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E8EBF5"/>
        <bgColor rgb="00E8EBF5"/>
      </patternFill>
    </fill>
    <fill>
      <patternFill patternType="solid">
        <fgColor rgb="00DCE8FB"/>
        <bgColor rgb="00DCE8FB"/>
      </patternFill>
    </fill>
    <fill>
      <patternFill patternType="solid">
        <fgColor rgb="00E6F4EA"/>
        <bgColor rgb="00E6F4EA"/>
      </patternFill>
    </fill>
    <fill>
      <patternFill patternType="solid">
        <fgColor rgb="00FFF4CC"/>
        <bgColor rgb="00FFF4CC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0D5E2"/>
      </left>
      <right style="thin">
        <color rgb="00D0D5E2"/>
      </right>
      <top style="thin">
        <color rgb="00D0D5E2"/>
      </top>
      <bottom style="thin">
        <color rgb="00D0D5E2"/>
      </bottom>
    </border>
    <border>
      <top style="medium">
        <color rgb="001F2A5A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center"/>
    </xf>
    <xf numFmtId="0" fontId="5" fillId="5" borderId="1" pivotButton="0" quotePrefix="0" xfId="0"/>
    <xf numFmtId="164" fontId="5" fillId="5" borderId="1" applyAlignment="1" pivotButton="0" quotePrefix="0" xfId="0">
      <alignment horizontal="right"/>
    </xf>
    <xf numFmtId="0" fontId="6" fillId="6" borderId="2" pivotButton="0" quotePrefix="0" xfId="0"/>
    <xf numFmtId="164" fontId="6" fillId="6" borderId="2" applyAlignment="1" pivotButton="0" quotePrefix="0" xfId="0">
      <alignment horizontal="right"/>
    </xf>
    <xf numFmtId="165" fontId="6" fillId="6" borderId="2" applyAlignment="1" pivotButton="0" quotePrefix="0" xfId="0">
      <alignment horizontal="center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9" fontId="4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tracker</author>
  </authors>
  <commentList>
    <comment ref="M5" authorId="0" shapeId="0">
      <text>
        <t>Share of the 8 data fields (address … Arabic name) filled, across this category's businesses.</t>
      </text>
    </comment>
    <comment ref="P5" authorId="0" shapeId="0">
      <text>
        <t>Unique Google places found by SerpAPI for this category (deduplicated by Google place ID). Not yet in the database.</t>
      </text>
    </comment>
    <comment ref="V5" authorId="0" shapeId="0">
      <text>
        <t>Share of the 5 discovery fields (website … 30+ reviews) present, across places found.</t>
      </text>
    </comment>
    <comment ref="Y5" authorId="0" shapeId="0">
      <text>
        <t>Target minus places found. Blank until you set a target.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B5" authorId="0" shapeId="0">
      <text>
        <t>Businesses with source = legacy_import, counted when the tracker was generated.</t>
      </text>
    </comment>
    <comment ref="B16" authorId="0" shapeId="0">
      <text>
        <t>From Basem: SerpAPI Developer plan, 5,000 searches/month. Edit if the plan changes.</t>
      </text>
    </comment>
    <comment ref="B18" authorId="0" shapeId="0">
      <text>
        <t>Read from the SerpAPI account page at 2026-10-21 11:52 (free lookup). Refreshes when the tracker is regenerated.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4" customWidth="1" min="23" max="23"/>
    <col width="11" customWidth="1" min="24" max="24"/>
    <col width="11" customWidth="1" min="25" max="25"/>
    <col width="40" customWidth="1" min="26" max="26"/>
  </cols>
  <sheetData>
    <row r="1">
      <c r="A1" s="1" t="inlineStr">
        <is>
          <t>Reviewencer — business data tracker</t>
        </is>
      </c>
    </row>
    <row r="2">
      <c r="A2" s="2" t="inlineStr">
        <is>
          <t>Generated 2026-10-21 11:52 from the live database (11,039 businesses) and SerpAPI discovery runs in data/serp/. Refresh: python scripts/data_tracker.py</t>
        </is>
      </c>
    </row>
    <row r="4">
      <c r="A4" s="3" t="inlineStr">
        <is>
          <t>Category</t>
        </is>
      </c>
      <c r="D4" s="4" t="inlineStr">
        <is>
          <t>Current database (live)</t>
        </is>
      </c>
      <c r="O4" s="5" t="inlineStr">
        <is>
          <t>SerpAPI discovery</t>
        </is>
      </c>
      <c r="W4" s="6" t="inlineStr">
        <is>
          <t>Plan (you edit these)</t>
        </is>
      </c>
    </row>
    <row r="5" ht="42" customHeight="1">
      <c r="A5" s="7" t="inlineStr">
        <is>
          <t>Life moment</t>
        </is>
      </c>
      <c r="B5" s="7" t="inlineStr">
        <is>
          <t>Category</t>
        </is>
      </c>
      <c r="C5" s="7" t="inlineStr">
        <is>
          <t>Slug</t>
        </is>
      </c>
      <c r="D5" s="8" t="inlineStr">
        <is>
          <t>Businesses in DB</t>
        </is>
      </c>
      <c r="E5" s="8" t="inlineStr">
        <is>
          <t>With address</t>
        </is>
      </c>
      <c r="F5" s="8" t="inlineStr">
        <is>
          <t>With emirate</t>
        </is>
      </c>
      <c r="G5" s="8" t="inlineStr">
        <is>
          <t>With logo</t>
        </is>
      </c>
      <c r="H5" s="8" t="inlineStr">
        <is>
          <t>With website</t>
        </is>
      </c>
      <c r="I5" s="8" t="inlineStr">
        <is>
          <t>With phone</t>
        </is>
      </c>
      <c r="J5" s="8" t="inlineStr">
        <is>
          <t>With map location</t>
        </is>
      </c>
      <c r="K5" s="8" t="inlineStr">
        <is>
          <t>With Google ID</t>
        </is>
      </c>
      <c r="L5" s="8" t="inlineStr">
        <is>
          <t>With Arabic name</t>
        </is>
      </c>
      <c r="M5" s="8" t="inlineStr">
        <is>
          <t>DB data completeness</t>
        </is>
      </c>
      <c r="N5" s="8" t="inlineStr">
        <is>
          <t>Published reviews</t>
        </is>
      </c>
      <c r="O5" s="9" t="inlineStr">
        <is>
          <t>Searches spent</t>
        </is>
      </c>
      <c r="P5" s="9" t="inlineStr">
        <is>
          <t>Places found</t>
        </is>
      </c>
      <c r="Q5" s="9" t="inlineStr">
        <is>
          <t>With website</t>
        </is>
      </c>
      <c r="R5" s="9" t="inlineStr">
        <is>
          <t>With phone</t>
        </is>
      </c>
      <c r="S5" s="9" t="inlineStr">
        <is>
          <t>With hours</t>
        </is>
      </c>
      <c r="T5" s="9" t="inlineStr">
        <is>
          <t>With map location</t>
        </is>
      </c>
      <c r="U5" s="9" t="inlineStr">
        <is>
          <t>30+ Google reviews</t>
        </is>
      </c>
      <c r="V5" s="9" t="inlineStr">
        <is>
          <t>Discovery data completeness</t>
        </is>
      </c>
      <c r="W5" s="10" t="inlineStr">
        <is>
          <t>Status</t>
        </is>
      </c>
      <c r="X5" s="10" t="inlineStr">
        <is>
          <t>Target # businesses</t>
        </is>
      </c>
      <c r="Y5" s="10" t="inlineStr">
        <is>
          <t>Gap vs target</t>
        </is>
      </c>
      <c r="Z5" s="10" t="inlineStr">
        <is>
          <t>Notes</t>
        </is>
      </c>
    </row>
    <row r="6">
      <c r="A6" s="11" t="inlineStr">
        <is>
          <t>Eating &amp; drinking</t>
        </is>
      </c>
      <c r="B6" s="11" t="inlineStr">
        <is>
          <t>Restaurants</t>
        </is>
      </c>
      <c r="C6" s="11" t="inlineStr">
        <is>
          <t>restaurants</t>
        </is>
      </c>
      <c r="D6" s="12" t="n">
        <v>1668</v>
      </c>
      <c r="E6" s="12" t="n">
        <v>1385</v>
      </c>
      <c r="F6" s="12" t="n">
        <v>1183</v>
      </c>
      <c r="G6" s="12" t="n">
        <v>1001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3">
        <f>IFERROR(SUM(E6:L6)/(8*D6),0)</f>
        <v/>
      </c>
      <c r="N6" s="12" t="n">
        <v>0</v>
      </c>
      <c r="O6" s="12" t="n">
        <v>152</v>
      </c>
      <c r="P6" s="12" t="n">
        <v>2121</v>
      </c>
      <c r="Q6" s="12" t="n">
        <v>1552</v>
      </c>
      <c r="R6" s="12" t="n">
        <v>2078</v>
      </c>
      <c r="S6" s="12" t="n">
        <v>2091</v>
      </c>
      <c r="T6" s="12" t="n">
        <v>2121</v>
      </c>
      <c r="U6" s="12" t="n">
        <v>2065</v>
      </c>
      <c r="V6" s="13">
        <f>IFERROR(SUM(Q6:U6)/(5*P6),0)</f>
        <v/>
      </c>
      <c r="W6" s="14" t="inlineStr">
        <is>
          <t>Discovering</t>
        </is>
      </c>
      <c r="X6" s="15" t="n"/>
      <c r="Y6" s="12">
        <f>IF(X6="","",X6-P6)</f>
        <v/>
      </c>
      <c r="Z6" s="14" t="n"/>
    </row>
    <row r="7">
      <c r="A7" s="11" t="inlineStr">
        <is>
          <t>Eating &amp; drinking</t>
        </is>
      </c>
      <c r="B7" s="11" t="inlineStr">
        <is>
          <t>Cafés &amp; coffee shops</t>
        </is>
      </c>
      <c r="C7" s="11" t="inlineStr">
        <is>
          <t>cafes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3">
        <f>IFERROR(SUM(E7:L7)/(8*D7),0)</f>
        <v/>
      </c>
      <c r="N7" s="12" t="n">
        <v>0</v>
      </c>
      <c r="O7" s="12" t="n">
        <v>102</v>
      </c>
      <c r="P7" s="12" t="n">
        <v>1740</v>
      </c>
      <c r="Q7" s="12" t="n">
        <v>1241</v>
      </c>
      <c r="R7" s="12" t="n">
        <v>1654</v>
      </c>
      <c r="S7" s="12" t="n">
        <v>1695</v>
      </c>
      <c r="T7" s="12" t="n">
        <v>1740</v>
      </c>
      <c r="U7" s="12" t="n">
        <v>1592</v>
      </c>
      <c r="V7" s="13">
        <f>IFERROR(SUM(Q7:U7)/(5*P7),0)</f>
        <v/>
      </c>
      <c r="W7" s="14" t="inlineStr">
        <is>
          <t>Discovering</t>
        </is>
      </c>
      <c r="X7" s="15" t="n"/>
      <c r="Y7" s="12">
        <f>IF(X7="","",X7-P7)</f>
        <v/>
      </c>
      <c r="Z7" s="14" t="n"/>
    </row>
    <row r="8">
      <c r="A8" s="11" t="inlineStr">
        <is>
          <t>Eating &amp; drinking</t>
        </is>
      </c>
      <c r="B8" s="11" t="inlineStr">
        <is>
          <t>Brunch &amp; breakfast</t>
        </is>
      </c>
      <c r="C8" s="11" t="inlineStr">
        <is>
          <t>brunch-breakfast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3">
        <f>IFERROR(SUM(E8:L8)/(8*D8),0)</f>
        <v/>
      </c>
      <c r="N8" s="12" t="n">
        <v>0</v>
      </c>
      <c r="O8" s="12" t="n">
        <v>51</v>
      </c>
      <c r="P8" s="12" t="n">
        <v>900</v>
      </c>
      <c r="Q8" s="12" t="n">
        <v>679</v>
      </c>
      <c r="R8" s="12" t="n">
        <v>880</v>
      </c>
      <c r="S8" s="12" t="n">
        <v>892</v>
      </c>
      <c r="T8" s="12" t="n">
        <v>900</v>
      </c>
      <c r="U8" s="12" t="n">
        <v>877</v>
      </c>
      <c r="V8" s="13">
        <f>IFERROR(SUM(Q8:U8)/(5*P8),0)</f>
        <v/>
      </c>
      <c r="W8" s="14" t="inlineStr">
        <is>
          <t>Discovering</t>
        </is>
      </c>
      <c r="X8" s="15" t="n"/>
      <c r="Y8" s="12">
        <f>IF(X8="","",X8-P8)</f>
        <v/>
      </c>
      <c r="Z8" s="14" t="n"/>
    </row>
    <row r="9">
      <c r="A9" s="11" t="inlineStr">
        <is>
          <t>Eating &amp; drinking</t>
        </is>
      </c>
      <c r="B9" s="11" t="inlineStr">
        <is>
          <t>Bakeries &amp; patisseries</t>
        </is>
      </c>
      <c r="C9" s="11" t="inlineStr">
        <is>
          <t>bakeries-patisseries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3">
        <f>IFERROR(SUM(E9:L9)/(8*D9),0)</f>
        <v/>
      </c>
      <c r="N9" s="12" t="n">
        <v>0</v>
      </c>
      <c r="O9" s="12" t="n">
        <v>51</v>
      </c>
      <c r="P9" s="12" t="n">
        <v>729</v>
      </c>
      <c r="Q9" s="12" t="n">
        <v>534</v>
      </c>
      <c r="R9" s="12" t="n">
        <v>702</v>
      </c>
      <c r="S9" s="12" t="n">
        <v>717</v>
      </c>
      <c r="T9" s="12" t="n">
        <v>729</v>
      </c>
      <c r="U9" s="12" t="n">
        <v>646</v>
      </c>
      <c r="V9" s="13">
        <f>IFERROR(SUM(Q9:U9)/(5*P9),0)</f>
        <v/>
      </c>
      <c r="W9" s="14" t="inlineStr">
        <is>
          <t>Discovering</t>
        </is>
      </c>
      <c r="X9" s="15" t="n"/>
      <c r="Y9" s="12">
        <f>IF(X9="","",X9-P9)</f>
        <v/>
      </c>
      <c r="Z9" s="14" t="n"/>
    </row>
    <row r="10">
      <c r="A10" s="11" t="inlineStr">
        <is>
          <t>Eating &amp; drinking</t>
        </is>
      </c>
      <c r="B10" s="11" t="inlineStr">
        <is>
          <t>Sweets &amp; desserts</t>
        </is>
      </c>
      <c r="C10" s="11" t="inlineStr">
        <is>
          <t>sweets-desserts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3">
        <f>IFERROR(SUM(E10:L10)/(8*D10),0)</f>
        <v/>
      </c>
      <c r="N10" s="12" t="n">
        <v>0</v>
      </c>
      <c r="O10" s="12" t="n">
        <v>51</v>
      </c>
      <c r="P10" s="12" t="n">
        <v>809</v>
      </c>
      <c r="Q10" s="12" t="n">
        <v>616</v>
      </c>
      <c r="R10" s="12" t="n">
        <v>776</v>
      </c>
      <c r="S10" s="12" t="n">
        <v>800</v>
      </c>
      <c r="T10" s="12" t="n">
        <v>809</v>
      </c>
      <c r="U10" s="12" t="n">
        <v>742</v>
      </c>
      <c r="V10" s="13">
        <f>IFERROR(SUM(Q10:U10)/(5*P10),0)</f>
        <v/>
      </c>
      <c r="W10" s="14" t="inlineStr">
        <is>
          <t>Discovering</t>
        </is>
      </c>
      <c r="X10" s="15" t="n"/>
      <c r="Y10" s="12">
        <f>IF(X10="","",X10-P10)</f>
        <v/>
      </c>
      <c r="Z10" s="14" t="n"/>
    </row>
    <row r="11">
      <c r="A11" s="11" t="inlineStr">
        <is>
          <t>Eating &amp; drinking</t>
        </is>
      </c>
      <c r="B11" s="11" t="inlineStr">
        <is>
          <t>Bars &amp; lounges</t>
        </is>
      </c>
      <c r="C11" s="11" t="inlineStr">
        <is>
          <t>bars-lounges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3">
        <f>IFERROR(SUM(E11:L11)/(8*D11),0)</f>
        <v/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3">
        <f>IFERROR(SUM(Q11:U11)/(5*P11),0)</f>
        <v/>
      </c>
      <c r="W11" s="14" t="inlineStr">
        <is>
          <t>Not started</t>
        </is>
      </c>
      <c r="X11" s="15" t="n"/>
      <c r="Y11" s="12">
        <f>IF(X11="","",X11-P11)</f>
        <v/>
      </c>
      <c r="Z11" s="14" t="n"/>
    </row>
    <row r="12">
      <c r="A12" s="11" t="inlineStr">
        <is>
          <t>Eating &amp; drinking</t>
        </is>
      </c>
      <c r="B12" s="11" t="inlineStr">
        <is>
          <t>Food trucks &amp; street food</t>
        </is>
      </c>
      <c r="C12" s="11" t="inlineStr">
        <is>
          <t>street-food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>
        <f>IFERROR(SUM(E12:L12)/(8*D12),0)</f>
        <v/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3">
        <f>IFERROR(SUM(Q12:U12)/(5*P12),0)</f>
        <v/>
      </c>
      <c r="W12" s="14" t="inlineStr">
        <is>
          <t>Not started</t>
        </is>
      </c>
      <c r="X12" s="15" t="n"/>
      <c r="Y12" s="12">
        <f>IF(X12="","",X12-P12)</f>
        <v/>
      </c>
      <c r="Z12" s="14" t="n"/>
    </row>
    <row r="13">
      <c r="A13" s="11" t="inlineStr">
        <is>
          <t>Eating &amp; drinking</t>
        </is>
      </c>
      <c r="B13" s="11" t="inlineStr">
        <is>
          <t>Specialty food shops</t>
        </is>
      </c>
      <c r="C13" s="11" t="inlineStr">
        <is>
          <t>specialty-food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3">
        <f>IFERROR(SUM(E13:L13)/(8*D13),0)</f>
        <v/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3">
        <f>IFERROR(SUM(Q13:U13)/(5*P13),0)</f>
        <v/>
      </c>
      <c r="W13" s="14" t="inlineStr">
        <is>
          <t>Not started</t>
        </is>
      </c>
      <c r="X13" s="15" t="n"/>
      <c r="Y13" s="12">
        <f>IF(X13="","",X13-P13)</f>
        <v/>
      </c>
      <c r="Z13" s="14" t="n"/>
    </row>
    <row r="14">
      <c r="A14" s="11" t="inlineStr">
        <is>
          <t>Eating &amp; drinking</t>
        </is>
      </c>
      <c r="B14" s="11" t="inlineStr">
        <is>
          <t>Supermarkets &amp; grocery</t>
        </is>
      </c>
      <c r="C14" s="11" t="inlineStr">
        <is>
          <t>supermarkets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3">
        <f>IFERROR(SUM(E14:L14)/(8*D14),0)</f>
        <v/>
      </c>
      <c r="N14" s="12" t="n">
        <v>0</v>
      </c>
      <c r="O14" s="12" t="n">
        <v>51</v>
      </c>
      <c r="P14" s="12" t="n">
        <v>817</v>
      </c>
      <c r="Q14" s="12" t="n">
        <v>504</v>
      </c>
      <c r="R14" s="12" t="n">
        <v>776</v>
      </c>
      <c r="S14" s="12" t="n">
        <v>800</v>
      </c>
      <c r="T14" s="12" t="n">
        <v>817</v>
      </c>
      <c r="U14" s="12" t="n">
        <v>709</v>
      </c>
      <c r="V14" s="13">
        <f>IFERROR(SUM(Q14:U14)/(5*P14),0)</f>
        <v/>
      </c>
      <c r="W14" s="14" t="inlineStr">
        <is>
          <t>Discovering</t>
        </is>
      </c>
      <c r="X14" s="15" t="n"/>
      <c r="Y14" s="12">
        <f>IF(X14="","",X14-P14)</f>
        <v/>
      </c>
      <c r="Z14" s="14" t="n"/>
    </row>
    <row r="15">
      <c r="A15" s="11" t="inlineStr">
        <is>
          <t>Eating &amp; drinking</t>
        </is>
      </c>
      <c r="B15" s="11" t="inlineStr">
        <is>
          <t>Juice bars &amp; smoothies</t>
        </is>
      </c>
      <c r="C15" s="11" t="inlineStr">
        <is>
          <t>juice-bars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3">
        <f>IFERROR(SUM(E15:L15)/(8*D15),0)</f>
        <v/>
      </c>
      <c r="N15" s="12" t="n">
        <v>0</v>
      </c>
      <c r="O15" s="12" t="n">
        <v>51</v>
      </c>
      <c r="P15" s="12" t="n">
        <v>517</v>
      </c>
      <c r="Q15" s="12" t="n">
        <v>301</v>
      </c>
      <c r="R15" s="12" t="n">
        <v>470</v>
      </c>
      <c r="S15" s="12" t="n">
        <v>504</v>
      </c>
      <c r="T15" s="12" t="n">
        <v>517</v>
      </c>
      <c r="U15" s="12" t="n">
        <v>404</v>
      </c>
      <c r="V15" s="13">
        <f>IFERROR(SUM(Q15:U15)/(5*P15),0)</f>
        <v/>
      </c>
      <c r="W15" s="14" t="inlineStr">
        <is>
          <t>Discovering</t>
        </is>
      </c>
      <c r="X15" s="15" t="n"/>
      <c r="Y15" s="12">
        <f>IF(X15="","",X15-P15)</f>
        <v/>
      </c>
      <c r="Z15" s="14" t="n"/>
    </row>
    <row r="16">
      <c r="A16" s="11" t="inlineStr">
        <is>
          <t>Eating &amp; drinking</t>
        </is>
      </c>
      <c r="B16" s="11" t="inlineStr">
        <is>
          <t>Caterers</t>
        </is>
      </c>
      <c r="C16" s="11" t="inlineStr">
        <is>
          <t>caterers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3">
        <f>IFERROR(SUM(E16:L16)/(8*D16),0)</f>
        <v/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3">
        <f>IFERROR(SUM(Q16:U16)/(5*P16),0)</f>
        <v/>
      </c>
      <c r="W16" s="14" t="inlineStr">
        <is>
          <t>Not started</t>
        </is>
      </c>
      <c r="X16" s="15" t="n"/>
      <c r="Y16" s="12">
        <f>IF(X16="","",X16-P16)</f>
        <v/>
      </c>
      <c r="Z16" s="14" t="n"/>
    </row>
    <row r="17">
      <c r="A17" s="11" t="inlineStr">
        <is>
          <t>Health &amp; hygiene</t>
        </is>
      </c>
      <c r="B17" s="11" t="inlineStr">
        <is>
          <t>General clinics &amp; medical centres</t>
        </is>
      </c>
      <c r="C17" s="11" t="inlineStr">
        <is>
          <t>general-clinics</t>
        </is>
      </c>
      <c r="D17" s="12" t="n">
        <v>1044</v>
      </c>
      <c r="E17" s="12" t="n">
        <v>782</v>
      </c>
      <c r="F17" s="12" t="n">
        <v>767</v>
      </c>
      <c r="G17" s="12" t="n">
        <v>683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3">
        <f>IFERROR(SUM(E17:L17)/(8*D17),0)</f>
        <v/>
      </c>
      <c r="N17" s="12" t="n">
        <v>0</v>
      </c>
      <c r="O17" s="12" t="n">
        <v>94</v>
      </c>
      <c r="P17" s="12" t="n">
        <v>1375</v>
      </c>
      <c r="Q17" s="12" t="n">
        <v>1137</v>
      </c>
      <c r="R17" s="12" t="n">
        <v>1325</v>
      </c>
      <c r="S17" s="12" t="n">
        <v>1308</v>
      </c>
      <c r="T17" s="12" t="n">
        <v>1375</v>
      </c>
      <c r="U17" s="12" t="n">
        <v>1123</v>
      </c>
      <c r="V17" s="13">
        <f>IFERROR(SUM(Q17:U17)/(5*P17),0)</f>
        <v/>
      </c>
      <c r="W17" s="14" t="inlineStr">
        <is>
          <t>Discovering</t>
        </is>
      </c>
      <c r="X17" s="15" t="n"/>
      <c r="Y17" s="12">
        <f>IF(X17="","",X17-P17)</f>
        <v/>
      </c>
      <c r="Z17" s="14" t="n"/>
    </row>
    <row r="18">
      <c r="A18" s="11" t="inlineStr">
        <is>
          <t>Health &amp; hygiene</t>
        </is>
      </c>
      <c r="B18" s="11" t="inlineStr">
        <is>
          <t>Hospitals</t>
        </is>
      </c>
      <c r="C18" s="11" t="inlineStr">
        <is>
          <t>hospitals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3">
        <f>IFERROR(SUM(E18:L18)/(8*D18),0)</f>
        <v/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3">
        <f>IFERROR(SUM(Q18:U18)/(5*P18),0)</f>
        <v/>
      </c>
      <c r="W18" s="14" t="inlineStr">
        <is>
          <t>Not started</t>
        </is>
      </c>
      <c r="X18" s="15" t="n"/>
      <c r="Y18" s="12">
        <f>IF(X18="","",X18-P18)</f>
        <v/>
      </c>
      <c r="Z18" s="14" t="n"/>
    </row>
    <row r="19">
      <c r="A19" s="11" t="inlineStr">
        <is>
          <t>Health &amp; hygiene</t>
        </is>
      </c>
      <c r="B19" s="11" t="inlineStr">
        <is>
          <t>Specialty clinics</t>
        </is>
      </c>
      <c r="C19" s="11" t="inlineStr">
        <is>
          <t>specialty-clinics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3">
        <f>IFERROR(SUM(E19:L19)/(8*D19),0)</f>
        <v/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3">
        <f>IFERROR(SUM(Q19:U19)/(5*P19),0)</f>
        <v/>
      </c>
      <c r="W19" s="14" t="inlineStr">
        <is>
          <t>Not started</t>
        </is>
      </c>
      <c r="X19" s="15" t="n"/>
      <c r="Y19" s="12">
        <f>IF(X19="","",X19-P19)</f>
        <v/>
      </c>
      <c r="Z19" s="14" t="n"/>
    </row>
    <row r="20">
      <c r="A20" s="11" t="inlineStr">
        <is>
          <t>Health &amp; hygiene</t>
        </is>
      </c>
      <c r="B20" s="11" t="inlineStr">
        <is>
          <t>Aesthetic &amp; cosmetic clinics</t>
        </is>
      </c>
      <c r="C20" s="11" t="inlineStr">
        <is>
          <t>aesthetic-clinics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3">
        <f>IFERROR(SUM(E20:L20)/(8*D20),0)</f>
        <v/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3">
        <f>IFERROR(SUM(Q20:U20)/(5*P20),0)</f>
        <v/>
      </c>
      <c r="W20" s="14" t="inlineStr">
        <is>
          <t>Not started</t>
        </is>
      </c>
      <c r="X20" s="15" t="n"/>
      <c r="Y20" s="12">
        <f>IF(X20="","",X20-P20)</f>
        <v/>
      </c>
      <c r="Z20" s="14" t="n"/>
    </row>
    <row r="21">
      <c r="A21" s="11" t="inlineStr">
        <is>
          <t>Health &amp; hygiene</t>
        </is>
      </c>
      <c r="B21" s="11" t="inlineStr">
        <is>
          <t>Dental &amp; orthodontics</t>
        </is>
      </c>
      <c r="C21" s="11" t="inlineStr">
        <is>
          <t>dental</t>
        </is>
      </c>
      <c r="D21" s="12" t="n">
        <v>754</v>
      </c>
      <c r="E21" s="12" t="n">
        <v>543</v>
      </c>
      <c r="F21" s="12" t="n">
        <v>529</v>
      </c>
      <c r="G21" s="12" t="n">
        <v>438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3">
        <f>IFERROR(SUM(E21:L21)/(8*D21),0)</f>
        <v/>
      </c>
      <c r="N21" s="12" t="n">
        <v>0</v>
      </c>
      <c r="O21" s="12" t="n">
        <v>139</v>
      </c>
      <c r="P21" s="12" t="n">
        <v>1144</v>
      </c>
      <c r="Q21" s="12" t="n">
        <v>965</v>
      </c>
      <c r="R21" s="12" t="n">
        <v>1130</v>
      </c>
      <c r="S21" s="12" t="n">
        <v>1124</v>
      </c>
      <c r="T21" s="12" t="n">
        <v>1144</v>
      </c>
      <c r="U21" s="12" t="n">
        <v>969</v>
      </c>
      <c r="V21" s="13">
        <f>IFERROR(SUM(Q21:U21)/(5*P21),0)</f>
        <v/>
      </c>
      <c r="W21" s="14" t="inlineStr">
        <is>
          <t>Discovering</t>
        </is>
      </c>
      <c r="X21" s="15" t="n"/>
      <c r="Y21" s="12">
        <f>IF(X21="","",X21-P21)</f>
        <v/>
      </c>
      <c r="Z21" s="14" t="n"/>
    </row>
    <row r="22">
      <c r="A22" s="11" t="inlineStr">
        <is>
          <t>Health &amp; hygiene</t>
        </is>
      </c>
      <c r="B22" s="11" t="inlineStr">
        <is>
          <t>Pharmacies</t>
        </is>
      </c>
      <c r="C22" s="11" t="inlineStr">
        <is>
          <t>pharmacies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3">
        <f>IFERROR(SUM(E22:L22)/(8*D22),0)</f>
        <v/>
      </c>
      <c r="N22" s="12" t="n">
        <v>0</v>
      </c>
      <c r="O22" s="12" t="n">
        <v>51</v>
      </c>
      <c r="P22" s="12" t="n">
        <v>760</v>
      </c>
      <c r="Q22" s="12" t="n">
        <v>643</v>
      </c>
      <c r="R22" s="12" t="n">
        <v>750</v>
      </c>
      <c r="S22" s="12" t="n">
        <v>749</v>
      </c>
      <c r="T22" s="12" t="n">
        <v>760</v>
      </c>
      <c r="U22" s="12" t="n">
        <v>615</v>
      </c>
      <c r="V22" s="13">
        <f>IFERROR(SUM(Q22:U22)/(5*P22),0)</f>
        <v/>
      </c>
      <c r="W22" s="14" t="inlineStr">
        <is>
          <t>Discovering</t>
        </is>
      </c>
      <c r="X22" s="15" t="n"/>
      <c r="Y22" s="12">
        <f>IF(X22="","",X22-P22)</f>
        <v/>
      </c>
      <c r="Z22" s="14" t="n"/>
    </row>
    <row r="23">
      <c r="A23" s="11" t="inlineStr">
        <is>
          <t>Health &amp; hygiene</t>
        </is>
      </c>
      <c r="B23" s="11" t="inlineStr">
        <is>
          <t>Opticians &amp; eye care</t>
        </is>
      </c>
      <c r="C23" s="11" t="inlineStr">
        <is>
          <t>opticians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3">
        <f>IFERROR(SUM(E23:L23)/(8*D23),0)</f>
        <v/>
      </c>
      <c r="N23" s="12" t="n">
        <v>0</v>
      </c>
      <c r="O23" s="12" t="n">
        <v>25</v>
      </c>
      <c r="P23" s="12" t="n">
        <v>224</v>
      </c>
      <c r="Q23" s="12" t="n">
        <v>184</v>
      </c>
      <c r="R23" s="12" t="n">
        <v>219</v>
      </c>
      <c r="S23" s="12" t="n">
        <v>221</v>
      </c>
      <c r="T23" s="12" t="n">
        <v>224</v>
      </c>
      <c r="U23" s="12" t="n">
        <v>183</v>
      </c>
      <c r="V23" s="13">
        <f>IFERROR(SUM(Q23:U23)/(5*P23),0)</f>
        <v/>
      </c>
      <c r="W23" s="14" t="inlineStr">
        <is>
          <t>Discovering</t>
        </is>
      </c>
      <c r="X23" s="15" t="n"/>
      <c r="Y23" s="12">
        <f>IF(X23="","",X23-P23)</f>
        <v/>
      </c>
      <c r="Z23" s="14" t="n"/>
    </row>
    <row r="24">
      <c r="A24" s="11" t="inlineStr">
        <is>
          <t>Health &amp; hygiene</t>
        </is>
      </c>
      <c r="B24" s="11" t="inlineStr">
        <is>
          <t>Salons, barbers &amp; spas</t>
        </is>
      </c>
      <c r="C24" s="11" t="inlineStr">
        <is>
          <t>salons-spas</t>
        </is>
      </c>
      <c r="D24" s="12" t="n">
        <v>1705</v>
      </c>
      <c r="E24" s="12" t="n">
        <v>1335</v>
      </c>
      <c r="F24" s="12" t="n">
        <v>1303</v>
      </c>
      <c r="G24" s="12" t="n">
        <v>1017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3">
        <f>IFERROR(SUM(E24:L24)/(8*D24),0)</f>
        <v/>
      </c>
      <c r="N24" s="12" t="n">
        <v>0</v>
      </c>
      <c r="O24" s="12" t="n">
        <v>101</v>
      </c>
      <c r="P24" s="12" t="n">
        <v>1506</v>
      </c>
      <c r="Q24" s="12" t="n">
        <v>1099</v>
      </c>
      <c r="R24" s="12" t="n">
        <v>1440</v>
      </c>
      <c r="S24" s="12" t="n">
        <v>1483</v>
      </c>
      <c r="T24" s="12" t="n">
        <v>1506</v>
      </c>
      <c r="U24" s="12" t="n">
        <v>1308</v>
      </c>
      <c r="V24" s="13">
        <f>IFERROR(SUM(Q24:U24)/(5*P24),0)</f>
        <v/>
      </c>
      <c r="W24" s="14" t="inlineStr">
        <is>
          <t>Discovering</t>
        </is>
      </c>
      <c r="X24" s="15" t="n"/>
      <c r="Y24" s="12">
        <f>IF(X24="","",X24-P24)</f>
        <v/>
      </c>
      <c r="Z24" s="14" t="n"/>
    </row>
    <row r="25">
      <c r="A25" s="11" t="inlineStr">
        <is>
          <t>Health &amp; hygiene</t>
        </is>
      </c>
      <c r="B25" s="11" t="inlineStr">
        <is>
          <t>Wellness &amp; alternative medicine</t>
        </is>
      </c>
      <c r="C25" s="11" t="inlineStr">
        <is>
          <t>wellness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3">
        <f>IFERROR(SUM(E25:L25)/(8*D25),0)</f>
        <v/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3">
        <f>IFERROR(SUM(Q25:U25)/(5*P25),0)</f>
        <v/>
      </c>
      <c r="W25" s="14" t="inlineStr">
        <is>
          <t>Not started</t>
        </is>
      </c>
      <c r="X25" s="15" t="n"/>
      <c r="Y25" s="12">
        <f>IF(X25="","",X25-P25)</f>
        <v/>
      </c>
      <c r="Z25" s="14" t="n"/>
    </row>
    <row r="26">
      <c r="A26" s="11" t="inlineStr">
        <is>
          <t>Health &amp; hygiene</t>
        </is>
      </c>
      <c r="B26" s="11" t="inlineStr">
        <is>
          <t>Fitness &amp; nutrition consultants</t>
        </is>
      </c>
      <c r="C26" s="11" t="inlineStr">
        <is>
          <t>fitness-nutrition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3">
        <f>IFERROR(SUM(E26:L26)/(8*D26),0)</f>
        <v/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3">
        <f>IFERROR(SUM(Q26:U26)/(5*P26),0)</f>
        <v/>
      </c>
      <c r="W26" s="14" t="inlineStr">
        <is>
          <t>Not started</t>
        </is>
      </c>
      <c r="X26" s="15" t="n"/>
      <c r="Y26" s="12">
        <f>IF(X26="","",X26-P26)</f>
        <v/>
      </c>
      <c r="Z26" s="14" t="n"/>
    </row>
    <row r="27">
      <c r="A27" s="11" t="inlineStr">
        <is>
          <t>Family &amp; kids</t>
        </is>
      </c>
      <c r="B27" s="11" t="inlineStr">
        <is>
          <t>Schools</t>
        </is>
      </c>
      <c r="C27" s="11" t="inlineStr">
        <is>
          <t>schools</t>
        </is>
      </c>
      <c r="D27" s="12" t="n">
        <v>709</v>
      </c>
      <c r="E27" s="12" t="n">
        <v>576</v>
      </c>
      <c r="F27" s="12" t="n">
        <v>564</v>
      </c>
      <c r="G27" s="12" t="n">
        <v>478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3">
        <f>IFERROR(SUM(E27:L27)/(8*D27),0)</f>
        <v/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3">
        <f>IFERROR(SUM(Q27:U27)/(5*P27),0)</f>
        <v/>
      </c>
      <c r="W27" s="14" t="inlineStr">
        <is>
          <t>Not started</t>
        </is>
      </c>
      <c r="X27" s="15" t="n"/>
      <c r="Y27" s="12">
        <f>IF(X27="","",X27-P27)</f>
        <v/>
      </c>
      <c r="Z27" s="14" t="n"/>
    </row>
    <row r="28">
      <c r="A28" s="11" t="inlineStr">
        <is>
          <t>Family &amp; kids</t>
        </is>
      </c>
      <c r="B28" s="11" t="inlineStr">
        <is>
          <t>Nurseries &amp; early years</t>
        </is>
      </c>
      <c r="C28" s="11" t="inlineStr">
        <is>
          <t>nurseries</t>
        </is>
      </c>
      <c r="D28" s="12" t="n">
        <v>430</v>
      </c>
      <c r="E28" s="12" t="n">
        <v>340</v>
      </c>
      <c r="F28" s="12" t="n">
        <v>334</v>
      </c>
      <c r="G28" s="12" t="n">
        <v>282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3">
        <f>IFERROR(SUM(E28:L28)/(8*D28),0)</f>
        <v/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3">
        <f>IFERROR(SUM(Q28:U28)/(5*P28),0)</f>
        <v/>
      </c>
      <c r="W28" s="14" t="inlineStr">
        <is>
          <t>Not started</t>
        </is>
      </c>
      <c r="X28" s="15" t="n"/>
      <c r="Y28" s="12">
        <f>IF(X28="","",X28-P28)</f>
        <v/>
      </c>
      <c r="Z28" s="14" t="n"/>
    </row>
    <row r="29">
      <c r="A29" s="11" t="inlineStr">
        <is>
          <t>Family &amp; kids</t>
        </is>
      </c>
      <c r="B29" s="11" t="inlineStr">
        <is>
          <t>Tutoring &amp; enrichment academies</t>
        </is>
      </c>
      <c r="C29" s="11" t="inlineStr">
        <is>
          <t>tutoring</t>
        </is>
      </c>
      <c r="D29" s="12" t="n">
        <v>202</v>
      </c>
      <c r="E29" s="12" t="n">
        <v>180</v>
      </c>
      <c r="F29" s="12" t="n">
        <v>178</v>
      </c>
      <c r="G29" s="12" t="n">
        <v>139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3">
        <f>IFERROR(SUM(E29:L29)/(8*D29),0)</f>
        <v/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3">
        <f>IFERROR(SUM(Q29:U29)/(5*P29),0)</f>
        <v/>
      </c>
      <c r="W29" s="14" t="inlineStr">
        <is>
          <t>Not started</t>
        </is>
      </c>
      <c r="X29" s="15" t="n"/>
      <c r="Y29" s="12">
        <f>IF(X29="","",X29-P29)</f>
        <v/>
      </c>
      <c r="Z29" s="14" t="n"/>
    </row>
    <row r="30">
      <c r="A30" s="11" t="inlineStr">
        <is>
          <t>Family &amp; kids</t>
        </is>
      </c>
      <c r="B30" s="11" t="inlineStr">
        <is>
          <t>Family entertainment &amp; play areas</t>
        </is>
      </c>
      <c r="C30" s="11" t="inlineStr">
        <is>
          <t>family-entertainment</t>
        </is>
      </c>
      <c r="D30" s="12" t="n">
        <v>341</v>
      </c>
      <c r="E30" s="12" t="n">
        <v>290</v>
      </c>
      <c r="F30" s="12" t="n">
        <v>276</v>
      </c>
      <c r="G30" s="12" t="n">
        <v>254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3">
        <f>IFERROR(SUM(E30:L30)/(8*D30),0)</f>
        <v/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3">
        <f>IFERROR(SUM(Q30:U30)/(5*P30),0)</f>
        <v/>
      </c>
      <c r="W30" s="14" t="inlineStr">
        <is>
          <t>Not started</t>
        </is>
      </c>
      <c r="X30" s="15" t="n"/>
      <c r="Y30" s="12">
        <f>IF(X30="","",X30-P30)</f>
        <v/>
      </c>
      <c r="Z30" s="14" t="n"/>
    </row>
    <row r="31">
      <c r="A31" s="11" t="inlineStr">
        <is>
          <t>Family &amp; kids</t>
        </is>
      </c>
      <c r="B31" s="11" t="inlineStr">
        <is>
          <t>Toy shops &amp; kids clothing</t>
        </is>
      </c>
      <c r="C31" s="11" t="inlineStr">
        <is>
          <t>kids-shops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3">
        <f>IFERROR(SUM(E31:L31)/(8*D31),0)</f>
        <v/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3">
        <f>IFERROR(SUM(Q31:U31)/(5*P31),0)</f>
        <v/>
      </c>
      <c r="W31" s="14" t="inlineStr">
        <is>
          <t>Not started</t>
        </is>
      </c>
      <c r="X31" s="15" t="n"/>
      <c r="Y31" s="12">
        <f>IF(X31="","",X31-P31)</f>
        <v/>
      </c>
      <c r="Z31" s="14" t="n"/>
    </row>
    <row r="32">
      <c r="A32" s="11" t="inlineStr">
        <is>
          <t>Family &amp; kids</t>
        </is>
      </c>
      <c r="B32" s="11" t="inlineStr">
        <is>
          <t>Children parties &amp; birthdays</t>
        </is>
      </c>
      <c r="C32" s="11" t="inlineStr">
        <is>
          <t>kids-parties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3">
        <f>IFERROR(SUM(E32:L32)/(8*D32),0)</f>
        <v/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3">
        <f>IFERROR(SUM(Q32:U32)/(5*P32),0)</f>
        <v/>
      </c>
      <c r="W32" s="14" t="inlineStr">
        <is>
          <t>Not started</t>
        </is>
      </c>
      <c r="X32" s="15" t="n"/>
      <c r="Y32" s="12">
        <f>IF(X32="","",X32-P32)</f>
        <v/>
      </c>
      <c r="Z32" s="14" t="n"/>
    </row>
    <row r="33">
      <c r="A33" s="11" t="inlineStr">
        <is>
          <t>Family &amp; kids</t>
        </is>
      </c>
      <c r="B33" s="11" t="inlineStr">
        <is>
          <t>Maternity &amp; baby care</t>
        </is>
      </c>
      <c r="C33" s="11" t="inlineStr">
        <is>
          <t>maternity-baby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3">
        <f>IFERROR(SUM(E33:L33)/(8*D33),0)</f>
        <v/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3">
        <f>IFERROR(SUM(Q33:U33)/(5*P33),0)</f>
        <v/>
      </c>
      <c r="W33" s="14" t="inlineStr">
        <is>
          <t>Not started</t>
        </is>
      </c>
      <c r="X33" s="15" t="n"/>
      <c r="Y33" s="12">
        <f>IF(X33="","",X33-P33)</f>
        <v/>
      </c>
      <c r="Z33" s="14" t="n"/>
    </row>
    <row r="34">
      <c r="A34" s="11" t="inlineStr">
        <is>
          <t>Weekend &amp; leisure</t>
        </is>
      </c>
      <c r="B34" s="11" t="inlineStr">
        <is>
          <t>Beach clubs &amp; pool clubs</t>
        </is>
      </c>
      <c r="C34" s="11" t="inlineStr">
        <is>
          <t>beach-clubs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3">
        <f>IFERROR(SUM(E34:L34)/(8*D34),0)</f>
        <v/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3">
        <f>IFERROR(SUM(Q34:U34)/(5*P34),0)</f>
        <v/>
      </c>
      <c r="W34" s="14" t="inlineStr">
        <is>
          <t>Not started</t>
        </is>
      </c>
      <c r="X34" s="15" t="n"/>
      <c r="Y34" s="12">
        <f>IF(X34="","",X34-P34)</f>
        <v/>
      </c>
      <c r="Z34" s="14" t="n"/>
    </row>
    <row r="35">
      <c r="A35" s="11" t="inlineStr">
        <is>
          <t>Weekend &amp; leisure</t>
        </is>
      </c>
      <c r="B35" s="11" t="inlineStr">
        <is>
          <t>Cinemas &amp; theatres</t>
        </is>
      </c>
      <c r="C35" s="11" t="inlineStr">
        <is>
          <t>cinemas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3">
        <f>IFERROR(SUM(E35:L35)/(8*D35),0)</f>
        <v/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3">
        <f>IFERROR(SUM(Q35:U35)/(5*P35),0)</f>
        <v/>
      </c>
      <c r="W35" s="14" t="inlineStr">
        <is>
          <t>Not started</t>
        </is>
      </c>
      <c r="X35" s="15" t="n"/>
      <c r="Y35" s="12">
        <f>IF(X35="","",X35-P35)</f>
        <v/>
      </c>
      <c r="Z35" s="14" t="n"/>
    </row>
    <row r="36">
      <c r="A36" s="11" t="inlineStr">
        <is>
          <t>Weekend &amp; leisure</t>
        </is>
      </c>
      <c r="B36" s="11" t="inlineStr">
        <is>
          <t>Theme parks &amp; attractions</t>
        </is>
      </c>
      <c r="C36" s="11" t="inlineStr">
        <is>
          <t>theme-parks</t>
        </is>
      </c>
      <c r="D36" s="12" t="n">
        <v>193</v>
      </c>
      <c r="E36" s="12" t="n">
        <v>172</v>
      </c>
      <c r="F36" s="12" t="n">
        <v>162</v>
      </c>
      <c r="G36" s="12" t="n">
        <v>118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3">
        <f>IFERROR(SUM(E36:L36)/(8*D36),0)</f>
        <v/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3">
        <f>IFERROR(SUM(Q36:U36)/(5*P36),0)</f>
        <v/>
      </c>
      <c r="W36" s="14" t="inlineStr">
        <is>
          <t>Not started</t>
        </is>
      </c>
      <c r="X36" s="15" t="n"/>
      <c r="Y36" s="12">
        <f>IF(X36="","",X36-P36)</f>
        <v/>
      </c>
      <c r="Z36" s="14" t="n"/>
    </row>
    <row r="37">
      <c r="A37" s="11" t="inlineStr">
        <is>
          <t>Weekend &amp; leisure</t>
        </is>
      </c>
      <c r="B37" s="11" t="inlineStr">
        <is>
          <t>Sports &amp; fitness facilities</t>
        </is>
      </c>
      <c r="C37" s="11" t="inlineStr">
        <is>
          <t>sports-fitness</t>
        </is>
      </c>
      <c r="D37" s="12" t="n">
        <v>871</v>
      </c>
      <c r="E37" s="12" t="n">
        <v>709</v>
      </c>
      <c r="F37" s="12" t="n">
        <v>698</v>
      </c>
      <c r="G37" s="12" t="n">
        <v>581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3">
        <f>IFERROR(SUM(E37:L37)/(8*D37),0)</f>
        <v/>
      </c>
      <c r="N37" s="12" t="n">
        <v>0</v>
      </c>
      <c r="O37" s="12" t="n">
        <v>95</v>
      </c>
      <c r="P37" s="12" t="n">
        <v>1200</v>
      </c>
      <c r="Q37" s="12" t="n">
        <v>781</v>
      </c>
      <c r="R37" s="12" t="n">
        <v>1096</v>
      </c>
      <c r="S37" s="12" t="n">
        <v>1110</v>
      </c>
      <c r="T37" s="12" t="n">
        <v>1200</v>
      </c>
      <c r="U37" s="12" t="n">
        <v>912</v>
      </c>
      <c r="V37" s="13">
        <f>IFERROR(SUM(Q37:U37)/(5*P37),0)</f>
        <v/>
      </c>
      <c r="W37" s="14" t="inlineStr">
        <is>
          <t>Discovering</t>
        </is>
      </c>
      <c r="X37" s="15" t="n"/>
      <c r="Y37" s="12">
        <f>IF(X37="","",X37-P37)</f>
        <v/>
      </c>
      <c r="Z37" s="14" t="n"/>
    </row>
    <row r="38">
      <c r="A38" s="11" t="inlineStr">
        <is>
          <t>Weekend &amp; leisure</t>
        </is>
      </c>
      <c r="B38" s="11" t="inlineStr">
        <is>
          <t>Outdoor activities</t>
        </is>
      </c>
      <c r="C38" s="11" t="inlineStr">
        <is>
          <t>outdoor-activities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3">
        <f>IFERROR(SUM(E38:L38)/(8*D38),0)</f>
        <v/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3">
        <f>IFERROR(SUM(Q38:U38)/(5*P38),0)</f>
        <v/>
      </c>
      <c r="W38" s="14" t="inlineStr">
        <is>
          <t>Not started</t>
        </is>
      </c>
      <c r="X38" s="15" t="n"/>
      <c r="Y38" s="12">
        <f>IF(X38="","",X38-P38)</f>
        <v/>
      </c>
      <c r="Z38" s="14" t="n"/>
    </row>
    <row r="39">
      <c r="A39" s="11" t="inlineStr">
        <is>
          <t>Weekend &amp; leisure</t>
        </is>
      </c>
      <c r="B39" s="11" t="inlineStr">
        <is>
          <t>Hotels &amp; resorts</t>
        </is>
      </c>
      <c r="C39" s="11" t="inlineStr">
        <is>
          <t>hotels</t>
        </is>
      </c>
      <c r="D39" s="12" t="n">
        <v>897</v>
      </c>
      <c r="E39" s="12" t="n">
        <v>783</v>
      </c>
      <c r="F39" s="12" t="n">
        <v>766</v>
      </c>
      <c r="G39" s="12" t="n">
        <v>718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3">
        <f>IFERROR(SUM(E39:L39)/(8*D39),0)</f>
        <v/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3">
        <f>IFERROR(SUM(Q39:U39)/(5*P39),0)</f>
        <v/>
      </c>
      <c r="W39" s="14" t="inlineStr">
        <is>
          <t>Not started</t>
        </is>
      </c>
      <c r="X39" s="15" t="n"/>
      <c r="Y39" s="12">
        <f>IF(X39="","",X39-P39)</f>
        <v/>
      </c>
      <c r="Z39" s="14" t="n"/>
    </row>
    <row r="40">
      <c r="A40" s="11" t="inlineStr">
        <is>
          <t>Weekend &amp; leisure</t>
        </is>
      </c>
      <c r="B40" s="11" t="inlineStr">
        <is>
          <t>Cultural sites &amp; museums</t>
        </is>
      </c>
      <c r="C40" s="11" t="inlineStr">
        <is>
          <t>cultural-sites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3">
        <f>IFERROR(SUM(E40:L40)/(8*D40),0)</f>
        <v/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3">
        <f>IFERROR(SUM(Q40:U40)/(5*P40),0)</f>
        <v/>
      </c>
      <c r="W40" s="14" t="inlineStr">
        <is>
          <t>Not started</t>
        </is>
      </c>
      <c r="X40" s="15" t="n"/>
      <c r="Y40" s="12">
        <f>IF(X40="","",X40-P40)</f>
        <v/>
      </c>
      <c r="Z40" s="14" t="n"/>
    </row>
    <row r="41">
      <c r="A41" s="11" t="inlineStr">
        <is>
          <t>Weekend &amp; leisure</t>
        </is>
      </c>
      <c r="B41" s="11" t="inlineStr">
        <is>
          <t>Nightlife &amp; clubs</t>
        </is>
      </c>
      <c r="C41" s="11" t="inlineStr">
        <is>
          <t>nightlife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3">
        <f>IFERROR(SUM(E41:L41)/(8*D41),0)</f>
        <v/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3">
        <f>IFERROR(SUM(Q41:U41)/(5*P41),0)</f>
        <v/>
      </c>
      <c r="W41" s="14" t="inlineStr">
        <is>
          <t>Not started</t>
        </is>
      </c>
      <c r="X41" s="15" t="n"/>
      <c r="Y41" s="12">
        <f>IF(X41="","",X41-P41)</f>
        <v/>
      </c>
      <c r="Z41" s="14" t="n"/>
    </row>
    <row r="42">
      <c r="A42" s="11" t="inlineStr">
        <is>
          <t>Weekend &amp; leisure</t>
        </is>
      </c>
      <c r="B42" s="11" t="inlineStr">
        <is>
          <t>Tour operators &amp; day trips</t>
        </is>
      </c>
      <c r="C42" s="11" t="inlineStr">
        <is>
          <t>tours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3">
        <f>IFERROR(SUM(E42:L42)/(8*D42),0)</f>
        <v/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3">
        <f>IFERROR(SUM(Q42:U42)/(5*P42),0)</f>
        <v/>
      </c>
      <c r="W42" s="14" t="inlineStr">
        <is>
          <t>Not started</t>
        </is>
      </c>
      <c r="X42" s="15" t="n"/>
      <c r="Y42" s="12">
        <f>IF(X42="","",X42-P42)</f>
        <v/>
      </c>
      <c r="Z42" s="14" t="n"/>
    </row>
    <row r="43">
      <c r="A43" s="11" t="inlineStr">
        <is>
          <t>Weekend &amp; leisure</t>
        </is>
      </c>
      <c r="B43" s="11" t="inlineStr">
        <is>
          <t>Holiday homes &amp; short-term rentals</t>
        </is>
      </c>
      <c r="C43" s="11" t="inlineStr">
        <is>
          <t>holiday-homes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3">
        <f>IFERROR(SUM(E43:L43)/(8*D43),0)</f>
        <v/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3">
        <f>IFERROR(SUM(Q43:U43)/(5*P43),0)</f>
        <v/>
      </c>
      <c r="W43" s="14" t="inlineStr">
        <is>
          <t>Manual list</t>
        </is>
      </c>
      <c r="X43" s="15" t="n"/>
      <c r="Y43" s="12">
        <f>IF(X43="","",X43-P43)</f>
        <v/>
      </c>
      <c r="Z43" s="14" t="n"/>
    </row>
    <row r="44">
      <c r="A44" s="11" t="inlineStr">
        <is>
          <t>Transport &amp; cars</t>
        </is>
      </c>
      <c r="B44" s="11" t="inlineStr">
        <is>
          <t>Car dealerships</t>
        </is>
      </c>
      <c r="C44" s="11" t="inlineStr">
        <is>
          <t>car-dealers</t>
        </is>
      </c>
      <c r="D44" s="12" t="n">
        <v>584</v>
      </c>
      <c r="E44" s="12" t="n">
        <v>502</v>
      </c>
      <c r="F44" s="12" t="n">
        <v>490</v>
      </c>
      <c r="G44" s="12" t="n">
        <v>397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3">
        <f>IFERROR(SUM(E44:L44)/(8*D44),0)</f>
        <v/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3">
        <f>IFERROR(SUM(Q44:U44)/(5*P44),0)</f>
        <v/>
      </c>
      <c r="W44" s="14" t="inlineStr">
        <is>
          <t>Not started</t>
        </is>
      </c>
      <c r="X44" s="15" t="n"/>
      <c r="Y44" s="12">
        <f>IF(X44="","",X44-P44)</f>
        <v/>
      </c>
      <c r="Z44" s="14" t="n"/>
    </row>
    <row r="45">
      <c r="A45" s="11" t="inlineStr">
        <is>
          <t>Transport &amp; cars</t>
        </is>
      </c>
      <c r="B45" s="11" t="inlineStr">
        <is>
          <t>Garages &amp; car servicing</t>
        </is>
      </c>
      <c r="C45" s="11" t="inlineStr">
        <is>
          <t>garages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3">
        <f>IFERROR(SUM(E45:L45)/(8*D45),0)</f>
        <v/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3">
        <f>IFERROR(SUM(Q45:U45)/(5*P45),0)</f>
        <v/>
      </c>
      <c r="W45" s="14" t="inlineStr">
        <is>
          <t>Not started</t>
        </is>
      </c>
      <c r="X45" s="15" t="n"/>
      <c r="Y45" s="12">
        <f>IF(X45="","",X45-P45)</f>
        <v/>
      </c>
      <c r="Z45" s="14" t="n"/>
    </row>
    <row r="46">
      <c r="A46" s="11" t="inlineStr">
        <is>
          <t>Transport &amp; cars</t>
        </is>
      </c>
      <c r="B46" s="11" t="inlineStr">
        <is>
          <t>Car wash &amp; detailing</t>
        </is>
      </c>
      <c r="C46" s="11" t="inlineStr">
        <is>
          <t>car-wash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3">
        <f>IFERROR(SUM(E46:L46)/(8*D46),0)</f>
        <v/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3">
        <f>IFERROR(SUM(Q46:U46)/(5*P46),0)</f>
        <v/>
      </c>
      <c r="W46" s="14" t="inlineStr">
        <is>
          <t>Not started</t>
        </is>
      </c>
      <c r="X46" s="15" t="n"/>
      <c r="Y46" s="12">
        <f>IF(X46="","",X46-P46)</f>
        <v/>
      </c>
      <c r="Z46" s="14" t="n"/>
    </row>
    <row r="47">
      <c r="A47" s="11" t="inlineStr">
        <is>
          <t>Transport &amp; cars</t>
        </is>
      </c>
      <c r="B47" s="11" t="inlineStr">
        <is>
          <t>Car rentals &amp; leasing</t>
        </is>
      </c>
      <c r="C47" s="11" t="inlineStr">
        <is>
          <t>car-rental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3">
        <f>IFERROR(SUM(E47:L47)/(8*D47),0)</f>
        <v/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3">
        <f>IFERROR(SUM(Q47:U47)/(5*P47),0)</f>
        <v/>
      </c>
      <c r="W47" s="14" t="inlineStr">
        <is>
          <t>Not started</t>
        </is>
      </c>
      <c r="X47" s="15" t="n"/>
      <c r="Y47" s="12">
        <f>IF(X47="","",X47-P47)</f>
        <v/>
      </c>
      <c r="Z47" s="14" t="n"/>
    </row>
    <row r="48">
      <c r="A48" s="11" t="inlineStr">
        <is>
          <t>Transport &amp; cars</t>
        </is>
      </c>
      <c r="B48" s="11" t="inlineStr">
        <is>
          <t>Driving schools</t>
        </is>
      </c>
      <c r="C48" s="11" t="inlineStr">
        <is>
          <t>driving-schools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3">
        <f>IFERROR(SUM(E48:L48)/(8*D48),0)</f>
        <v/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3">
        <f>IFERROR(SUM(Q48:U48)/(5*P48),0)</f>
        <v/>
      </c>
      <c r="W48" s="14" t="inlineStr">
        <is>
          <t>Not started</t>
        </is>
      </c>
      <c r="X48" s="15" t="n"/>
      <c r="Y48" s="12">
        <f>IF(X48="","",X48-P48)</f>
        <v/>
      </c>
      <c r="Z48" s="14" t="n"/>
    </row>
    <row r="49">
      <c r="A49" s="11" t="inlineStr">
        <is>
          <t>Finance &amp; services</t>
        </is>
      </c>
      <c r="B49" s="11" t="inlineStr">
        <is>
          <t>Banks</t>
        </is>
      </c>
      <c r="C49" s="11" t="inlineStr">
        <is>
          <t>banks</t>
        </is>
      </c>
      <c r="D49" s="12" t="n">
        <v>43</v>
      </c>
      <c r="E49" s="12" t="n">
        <v>36</v>
      </c>
      <c r="F49" s="12" t="n">
        <v>31</v>
      </c>
      <c r="G49" s="12" t="n">
        <v>29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3">
        <f>IFERROR(SUM(E49:L49)/(8*D49),0)</f>
        <v/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3">
        <f>IFERROR(SUM(Q49:U49)/(5*P49),0)</f>
        <v/>
      </c>
      <c r="W49" s="14" t="inlineStr">
        <is>
          <t>Manual list</t>
        </is>
      </c>
      <c r="X49" s="15" t="n"/>
      <c r="Y49" s="12">
        <f>IF(X49="","",X49-P49)</f>
        <v/>
      </c>
      <c r="Z49" s="14" t="n"/>
    </row>
    <row r="50">
      <c r="A50" s="11" t="inlineStr">
        <is>
          <t>Finance &amp; services</t>
        </is>
      </c>
      <c r="B50" s="11" t="inlineStr">
        <is>
          <t>Insurance</t>
        </is>
      </c>
      <c r="C50" s="11" t="inlineStr">
        <is>
          <t>insurance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3">
        <f>IFERROR(SUM(E50:L50)/(8*D50),0)</f>
        <v/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3">
        <f>IFERROR(SUM(Q50:U50)/(5*P50),0)</f>
        <v/>
      </c>
      <c r="W50" s="14" t="inlineStr">
        <is>
          <t>Manual list</t>
        </is>
      </c>
      <c r="X50" s="15" t="n"/>
      <c r="Y50" s="12">
        <f>IF(X50="","",X50-P50)</f>
        <v/>
      </c>
      <c r="Z50" s="14" t="n"/>
    </row>
    <row r="51">
      <c r="A51" s="11" t="inlineStr">
        <is>
          <t>Finance &amp; services</t>
        </is>
      </c>
      <c r="B51" s="11" t="inlineStr">
        <is>
          <t>Mobile, telecom &amp; internet</t>
        </is>
      </c>
      <c r="C51" s="11" t="inlineStr">
        <is>
          <t>telecom</t>
        </is>
      </c>
      <c r="D51" s="12" t="n">
        <v>2</v>
      </c>
      <c r="E51" s="12" t="n">
        <v>2</v>
      </c>
      <c r="F51" s="12" t="n">
        <v>0</v>
      </c>
      <c r="G51" s="12" t="n">
        <v>2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3">
        <f>IFERROR(SUM(E51:L51)/(8*D51),0)</f>
        <v/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3">
        <f>IFERROR(SUM(Q51:U51)/(5*P51),0)</f>
        <v/>
      </c>
      <c r="W51" s="14" t="inlineStr">
        <is>
          <t>Manual list</t>
        </is>
      </c>
      <c r="X51" s="15" t="n"/>
      <c r="Y51" s="12">
        <f>IF(X51="","",X51-P51)</f>
        <v/>
      </c>
      <c r="Z51" s="14" t="n"/>
    </row>
    <row r="52">
      <c r="A52" s="11" t="inlineStr">
        <is>
          <t>Finance &amp; services</t>
        </is>
      </c>
      <c r="B52" s="11" t="inlineStr">
        <is>
          <t>Real estate &amp; property</t>
        </is>
      </c>
      <c r="C52" s="11" t="inlineStr">
        <is>
          <t>real-estate</t>
        </is>
      </c>
      <c r="D52" s="12" t="n">
        <v>589</v>
      </c>
      <c r="E52" s="12" t="n">
        <v>434</v>
      </c>
      <c r="F52" s="12" t="n">
        <v>395</v>
      </c>
      <c r="G52" s="12" t="n">
        <v>390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3">
        <f>IFERROR(SUM(E52:L52)/(8*D52),0)</f>
        <v/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3">
        <f>IFERROR(SUM(Q52:U52)/(5*P52),0)</f>
        <v/>
      </c>
      <c r="W52" s="14" t="inlineStr">
        <is>
          <t>Manual list</t>
        </is>
      </c>
      <c r="X52" s="15" t="n"/>
      <c r="Y52" s="12">
        <f>IF(X52="","",X52-P52)</f>
        <v/>
      </c>
      <c r="Z52" s="14" t="n"/>
    </row>
    <row r="53">
      <c r="A53" s="11" t="inlineStr">
        <is>
          <t>Apps &amp; platforms</t>
        </is>
      </c>
      <c r="B53" s="11" t="inlineStr">
        <is>
          <t>Delivery &amp; rideshare apps</t>
        </is>
      </c>
      <c r="C53" s="11" t="inlineStr">
        <is>
          <t>delivery-rideshare</t>
        </is>
      </c>
      <c r="D53" s="12" t="n">
        <v>331</v>
      </c>
      <c r="E53" s="12" t="n">
        <v>292</v>
      </c>
      <c r="F53" s="12" t="n">
        <v>277</v>
      </c>
      <c r="G53" s="12" t="n">
        <v>236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3">
        <f>IFERROR(SUM(E53:L53)/(8*D53),0)</f>
        <v/>
      </c>
      <c r="N53" s="12" t="n">
        <v>1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3">
        <f>IFERROR(SUM(Q53:U53)/(5*P53),0)</f>
        <v/>
      </c>
      <c r="W53" s="14" t="inlineStr">
        <is>
          <t>Manual list</t>
        </is>
      </c>
      <c r="X53" s="15" t="n"/>
      <c r="Y53" s="12">
        <f>IF(X53="","",X53-P53)</f>
        <v/>
      </c>
      <c r="Z53" s="14" t="n"/>
    </row>
    <row r="54">
      <c r="A54" s="11" t="inlineStr">
        <is>
          <t>Apps &amp; platforms</t>
        </is>
      </c>
      <c r="B54" s="11" t="inlineStr">
        <is>
          <t>Online marketplaces</t>
        </is>
      </c>
      <c r="C54" s="11" t="inlineStr">
        <is>
          <t>marketplaces</t>
        </is>
      </c>
      <c r="D54" s="12" t="n">
        <v>43</v>
      </c>
      <c r="E54" s="12" t="n">
        <v>32</v>
      </c>
      <c r="F54" s="12" t="n">
        <v>28</v>
      </c>
      <c r="G54" s="12" t="n">
        <v>28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3">
        <f>IFERROR(SUM(E54:L54)/(8*D54),0)</f>
        <v/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3">
        <f>IFERROR(SUM(Q54:U54)/(5*P54),0)</f>
        <v/>
      </c>
      <c r="W54" s="14" t="inlineStr">
        <is>
          <t>Manual list</t>
        </is>
      </c>
      <c r="X54" s="15" t="n"/>
      <c r="Y54" s="12">
        <f>IF(X54="","",X54-P54)</f>
        <v/>
      </c>
      <c r="Z54" s="14" t="n"/>
    </row>
    <row r="55">
      <c r="A55" s="11" t="inlineStr">
        <is>
          <t>Shopping &amp; home</t>
        </is>
      </c>
      <c r="B55" s="11" t="inlineStr">
        <is>
          <t>Furniture &amp; home décor</t>
        </is>
      </c>
      <c r="C55" s="11" t="inlineStr">
        <is>
          <t>furniture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3">
        <f>IFERROR(SUM(E55:L55)/(8*D55),0)</f>
        <v/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3">
        <f>IFERROR(SUM(Q55:U55)/(5*P55),0)</f>
        <v/>
      </c>
      <c r="W55" s="14" t="inlineStr">
        <is>
          <t>Not started</t>
        </is>
      </c>
      <c r="X55" s="15" t="n"/>
      <c r="Y55" s="12">
        <f>IF(X55="","",X55-P55)</f>
        <v/>
      </c>
      <c r="Z55" s="14" t="n"/>
    </row>
    <row r="56">
      <c r="A56" s="11" t="inlineStr">
        <is>
          <t>Shopping &amp; home</t>
        </is>
      </c>
      <c r="B56" s="11" t="inlineStr">
        <is>
          <t>Fashion &amp; clothing</t>
        </is>
      </c>
      <c r="C56" s="11" t="inlineStr">
        <is>
          <t>fashion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3">
        <f>IFERROR(SUM(E56:L56)/(8*D56),0)</f>
        <v/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3">
        <f>IFERROR(SUM(Q56:U56)/(5*P56),0)</f>
        <v/>
      </c>
      <c r="W56" s="14" t="inlineStr">
        <is>
          <t>Not started</t>
        </is>
      </c>
      <c r="X56" s="15" t="n"/>
      <c r="Y56" s="12">
        <f>IF(X56="","",X56-P56)</f>
        <v/>
      </c>
      <c r="Z56" s="14" t="n"/>
    </row>
    <row r="57">
      <c r="A57" s="11" t="inlineStr">
        <is>
          <t>Shopping &amp; home</t>
        </is>
      </c>
      <c r="B57" s="11" t="inlineStr">
        <is>
          <t>Jewellery &amp; watches</t>
        </is>
      </c>
      <c r="C57" s="11" t="inlineStr">
        <is>
          <t>jewellery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3">
        <f>IFERROR(SUM(E57:L57)/(8*D57),0)</f>
        <v/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3">
        <f>IFERROR(SUM(Q57:U57)/(5*P57),0)</f>
        <v/>
      </c>
      <c r="W57" s="14" t="inlineStr">
        <is>
          <t>Not started</t>
        </is>
      </c>
      <c r="X57" s="15" t="n"/>
      <c r="Y57" s="12">
        <f>IF(X57="","",X57-P57)</f>
        <v/>
      </c>
      <c r="Z57" s="14" t="n"/>
    </row>
    <row r="58">
      <c r="A58" s="11" t="inlineStr">
        <is>
          <t>Shopping &amp; home</t>
        </is>
      </c>
      <c r="B58" s="11" t="inlineStr">
        <is>
          <t>Electronics &amp; gadgets</t>
        </is>
      </c>
      <c r="C58" s="11" t="inlineStr">
        <is>
          <t>electronics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3">
        <f>IFERROR(SUM(E58:L58)/(8*D58),0)</f>
        <v/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3">
        <f>IFERROR(SUM(Q58:U58)/(5*P58),0)</f>
        <v/>
      </c>
      <c r="W58" s="14" t="inlineStr">
        <is>
          <t>Not started</t>
        </is>
      </c>
      <c r="X58" s="15" t="n"/>
      <c r="Y58" s="12">
        <f>IF(X58="","",X58-P58)</f>
        <v/>
      </c>
      <c r="Z58" s="14" t="n"/>
    </row>
    <row r="59">
      <c r="A59" s="11" t="inlineStr">
        <is>
          <t>Shopping &amp; home</t>
        </is>
      </c>
      <c r="B59" s="11" t="inlineStr">
        <is>
          <t>Hardware &amp; DIY</t>
        </is>
      </c>
      <c r="C59" s="11" t="inlineStr">
        <is>
          <t>hardware-diy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3">
        <f>IFERROR(SUM(E59:L59)/(8*D59),0)</f>
        <v/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3">
        <f>IFERROR(SUM(Q59:U59)/(5*P59),0)</f>
        <v/>
      </c>
      <c r="W59" s="14" t="inlineStr">
        <is>
          <t>Not started</t>
        </is>
      </c>
      <c r="X59" s="15" t="n"/>
      <c r="Y59" s="12">
        <f>IF(X59="","",X59-P59)</f>
        <v/>
      </c>
      <c r="Z59" s="14" t="n"/>
    </row>
    <row r="60">
      <c r="A60" s="11" t="inlineStr">
        <is>
          <t>Shopping &amp; home</t>
        </is>
      </c>
      <c r="B60" s="11" t="inlineStr">
        <is>
          <t>Home appliances</t>
        </is>
      </c>
      <c r="C60" s="11" t="inlineStr">
        <is>
          <t>appliances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3">
        <f>IFERROR(SUM(E60:L60)/(8*D60),0)</f>
        <v/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3">
        <f>IFERROR(SUM(Q60:U60)/(5*P60),0)</f>
        <v/>
      </c>
      <c r="W60" s="14" t="inlineStr">
        <is>
          <t>Not started</t>
        </is>
      </c>
      <c r="X60" s="15" t="n"/>
      <c r="Y60" s="12">
        <f>IF(X60="","",X60-P60)</f>
        <v/>
      </c>
      <c r="Z60" s="14" t="n"/>
    </row>
    <row r="61">
      <c r="A61" s="11" t="inlineStr">
        <is>
          <t>Shopping &amp; home</t>
        </is>
      </c>
      <c r="B61" s="11" t="inlineStr">
        <is>
          <t>Bedding, linens &amp; home textiles</t>
        </is>
      </c>
      <c r="C61" s="11" t="inlineStr">
        <is>
          <t>bedding-linens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3">
        <f>IFERROR(SUM(E61:L61)/(8*D61),0)</f>
        <v/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3">
        <f>IFERROR(SUM(Q61:U61)/(5*P61),0)</f>
        <v/>
      </c>
      <c r="W61" s="14" t="inlineStr">
        <is>
          <t>Not started</t>
        </is>
      </c>
      <c r="X61" s="15" t="n"/>
      <c r="Y61" s="12">
        <f>IF(X61="","",X61-P61)</f>
        <v/>
      </c>
      <c r="Z61" s="14" t="n"/>
    </row>
    <row r="62">
      <c r="A62" s="11" t="inlineStr">
        <is>
          <t>Shopping &amp; home</t>
        </is>
      </c>
      <c r="B62" s="11" t="inlineStr">
        <is>
          <t>Kitchenware &amp; cookware</t>
        </is>
      </c>
      <c r="C62" s="11" t="inlineStr">
        <is>
          <t>kitchenware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3">
        <f>IFERROR(SUM(E62:L62)/(8*D62),0)</f>
        <v/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3">
        <f>IFERROR(SUM(Q62:U62)/(5*P62),0)</f>
        <v/>
      </c>
      <c r="W62" s="14" t="inlineStr">
        <is>
          <t>Not started</t>
        </is>
      </c>
      <c r="X62" s="15" t="n"/>
      <c r="Y62" s="12">
        <f>IF(X62="","",X62-P62)</f>
        <v/>
      </c>
      <c r="Z62" s="14" t="n"/>
    </row>
    <row r="63">
      <c r="A63" s="11" t="inlineStr">
        <is>
          <t>Shopping &amp; home</t>
        </is>
      </c>
      <c r="B63" s="11" t="inlineStr">
        <is>
          <t>Garden &amp; outdoor supplies</t>
        </is>
      </c>
      <c r="C63" s="11" t="inlineStr">
        <is>
          <t>garden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3">
        <f>IFERROR(SUM(E63:L63)/(8*D63),0)</f>
        <v/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3">
        <f>IFERROR(SUM(Q63:U63)/(5*P63),0)</f>
        <v/>
      </c>
      <c r="W63" s="14" t="inlineStr">
        <is>
          <t>Not started</t>
        </is>
      </c>
      <c r="X63" s="15" t="n"/>
      <c r="Y63" s="12">
        <f>IF(X63="","",X63-P63)</f>
        <v/>
      </c>
      <c r="Z63" s="14" t="n"/>
    </row>
    <row r="64">
      <c r="A64" s="11" t="inlineStr">
        <is>
          <t>Shopping &amp; home</t>
        </is>
      </c>
      <c r="B64" s="11" t="inlineStr">
        <is>
          <t>Florists &amp; gift shops</t>
        </is>
      </c>
      <c r="C64" s="11" t="inlineStr">
        <is>
          <t>florists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3">
        <f>IFERROR(SUM(E64:L64)/(8*D64),0)</f>
        <v/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3">
        <f>IFERROR(SUM(Q64:U64)/(5*P64),0)</f>
        <v/>
      </c>
      <c r="W64" s="14" t="inlineStr">
        <is>
          <t>Not started</t>
        </is>
      </c>
      <c r="X64" s="15" t="n"/>
      <c r="Y64" s="12">
        <f>IF(X64="","",X64-P64)</f>
        <v/>
      </c>
      <c r="Z64" s="14" t="n"/>
    </row>
    <row r="65">
      <c r="A65" s="11" t="inlineStr">
        <is>
          <t>Shopping &amp; home</t>
        </is>
      </c>
      <c r="B65" s="11" t="inlineStr">
        <is>
          <t>Photography &amp; videography services</t>
        </is>
      </c>
      <c r="C65" s="11" t="inlineStr">
        <is>
          <t>photography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3">
        <f>IFERROR(SUM(E65:L65)/(8*D65),0)</f>
        <v/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3">
        <f>IFERROR(SUM(Q65:U65)/(5*P65),0)</f>
        <v/>
      </c>
      <c r="W65" s="14" t="inlineStr">
        <is>
          <t>Not started</t>
        </is>
      </c>
      <c r="X65" s="15" t="n"/>
      <c r="Y65" s="12">
        <f>IF(X65="","",X65-P65)</f>
        <v/>
      </c>
      <c r="Z65" s="14" t="n"/>
    </row>
    <row r="66">
      <c r="A66" s="11" t="inlineStr">
        <is>
          <t>Shopping &amp; home</t>
        </is>
      </c>
      <c r="B66" s="11" t="inlineStr">
        <is>
          <t>Tailors &amp; alterations</t>
        </is>
      </c>
      <c r="C66" s="11" t="inlineStr">
        <is>
          <t>tailors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3">
        <f>IFERROR(SUM(E66:L66)/(8*D66),0)</f>
        <v/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3">
        <f>IFERROR(SUM(Q66:U66)/(5*P66),0)</f>
        <v/>
      </c>
      <c r="W66" s="14" t="inlineStr">
        <is>
          <t>Not started</t>
        </is>
      </c>
      <c r="X66" s="15" t="n"/>
      <c r="Y66" s="12">
        <f>IF(X66="","",X66-P66)</f>
        <v/>
      </c>
      <c r="Z66" s="14" t="n"/>
    </row>
    <row r="67">
      <c r="A67" s="11" t="inlineStr">
        <is>
          <t>Shopping &amp; home</t>
        </is>
      </c>
      <c r="B67" s="11" t="inlineStr">
        <is>
          <t>Cleaning, maintenance &amp; moving</t>
        </is>
      </c>
      <c r="C67" s="11" t="inlineStr">
        <is>
          <t>home-services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3">
        <f>IFERROR(SUM(E67:L67)/(8*D67),0)</f>
        <v/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3">
        <f>IFERROR(SUM(Q67:U67)/(5*P67),0)</f>
        <v/>
      </c>
      <c r="W67" s="14" t="inlineStr">
        <is>
          <t>Not started</t>
        </is>
      </c>
      <c r="X67" s="15" t="n"/>
      <c r="Y67" s="12">
        <f>IF(X67="","",X67-P67)</f>
        <v/>
      </c>
      <c r="Z67" s="14" t="n"/>
    </row>
    <row r="68">
      <c r="A68" s="11" t="inlineStr">
        <is>
          <t>Shopping &amp; home</t>
        </is>
      </c>
      <c r="B68" s="11" t="inlineStr">
        <is>
          <t>Pets</t>
        </is>
      </c>
      <c r="C68" s="11" t="inlineStr">
        <is>
          <t>pets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3">
        <f>IFERROR(SUM(E68:L68)/(8*D68),0)</f>
        <v/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3">
        <f>IFERROR(SUM(Q68:U68)/(5*P68),0)</f>
        <v/>
      </c>
      <c r="W68" s="14" t="inlineStr">
        <is>
          <t>Not started</t>
        </is>
      </c>
      <c r="X68" s="15" t="n"/>
      <c r="Y68" s="12">
        <f>IF(X68="","",X68-P68)</f>
        <v/>
      </c>
      <c r="Z68" s="14" t="n"/>
    </row>
    <row r="69">
      <c r="A69" s="11" t="inlineStr">
        <is>
          <t>Shopping &amp; home</t>
        </is>
      </c>
      <c r="B69" s="11" t="inlineStr">
        <is>
          <t>Shopping malls</t>
        </is>
      </c>
      <c r="C69" s="11" t="inlineStr">
        <is>
          <t>shopping-malls</t>
        </is>
      </c>
      <c r="D69" s="12" t="n">
        <v>633</v>
      </c>
      <c r="E69" s="12" t="n">
        <v>573</v>
      </c>
      <c r="F69" s="12" t="n">
        <v>555</v>
      </c>
      <c r="G69" s="12" t="n">
        <v>422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3">
        <f>IFERROR(SUM(E69:L69)/(8*D69),0)</f>
        <v/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3">
        <f>IFERROR(SUM(Q69:U69)/(5*P69),0)</f>
        <v/>
      </c>
      <c r="W69" s="14" t="inlineStr">
        <is>
          <t>Not started</t>
        </is>
      </c>
      <c r="X69" s="15" t="n"/>
      <c r="Y69" s="12">
        <f>IF(X69="","",X69-P69)</f>
        <v/>
      </c>
      <c r="Z69" s="14" t="n"/>
    </row>
    <row r="70">
      <c r="A70" s="11" t="inlineStr">
        <is>
          <t>Lifecycle events</t>
        </is>
      </c>
      <c r="B70" s="11" t="inlineStr">
        <is>
          <t>Wedding venues &amp; planners</t>
        </is>
      </c>
      <c r="C70" s="11" t="inlineStr">
        <is>
          <t>wedding-venues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3">
        <f>IFERROR(SUM(E70:L70)/(8*D70),0)</f>
        <v/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3">
        <f>IFERROR(SUM(Q70:U70)/(5*P70),0)</f>
        <v/>
      </c>
      <c r="W70" s="14" t="inlineStr">
        <is>
          <t>Not started</t>
        </is>
      </c>
      <c r="X70" s="15" t="n"/>
      <c r="Y70" s="12">
        <f>IF(X70="","",X70-P70)</f>
        <v/>
      </c>
      <c r="Z70" s="14" t="n"/>
    </row>
    <row r="71">
      <c r="A71" s="11" t="inlineStr">
        <is>
          <t>Lifecycle events</t>
        </is>
      </c>
      <c r="B71" s="11" t="inlineStr">
        <is>
          <t>Event venues &amp; meeting rooms</t>
        </is>
      </c>
      <c r="C71" s="11" t="inlineStr">
        <is>
          <t>event-venues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3">
        <f>IFERROR(SUM(E71:L71)/(8*D71),0)</f>
        <v/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3">
        <f>IFERROR(SUM(Q71:U71)/(5*P71),0)</f>
        <v/>
      </c>
      <c r="W71" s="14" t="inlineStr">
        <is>
          <t>Not started</t>
        </is>
      </c>
      <c r="X71" s="15" t="n"/>
      <c r="Y71" s="12">
        <f>IF(X71="","",X71-P71)</f>
        <v/>
      </c>
      <c r="Z71" s="14" t="n"/>
    </row>
    <row r="72">
      <c r="A72" s="11" t="inlineStr">
        <is>
          <t>Lifecycle events</t>
        </is>
      </c>
      <c r="B72" s="11" t="inlineStr">
        <is>
          <t>Catering &amp; event entertainment</t>
        </is>
      </c>
      <c r="C72" s="11" t="inlineStr">
        <is>
          <t>event-catering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3">
        <f>IFERROR(SUM(E72:L72)/(8*D72),0)</f>
        <v/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3">
        <f>IFERROR(SUM(Q72:U72)/(5*P72),0)</f>
        <v/>
      </c>
      <c r="W72" s="14" t="inlineStr">
        <is>
          <t>Not started</t>
        </is>
      </c>
      <c r="X72" s="15" t="n"/>
      <c r="Y72" s="12">
        <f>IF(X72="","",X72-P72)</f>
        <v/>
      </c>
      <c r="Z72" s="14" t="n"/>
    </row>
    <row r="73">
      <c r="A73" s="16" t="inlineStr">
        <is>
          <t>TOTAL</t>
        </is>
      </c>
      <c r="B73" s="16" t="n"/>
      <c r="C73" s="16" t="inlineStr">
        <is>
          <t>TOTAL</t>
        </is>
      </c>
      <c r="D73" s="17">
        <f>SUM(D6:D72)</f>
        <v/>
      </c>
      <c r="E73" s="17">
        <f>SUM(E6:E72)</f>
        <v/>
      </c>
      <c r="F73" s="17">
        <f>SUM(F6:F72)</f>
        <v/>
      </c>
      <c r="G73" s="17">
        <f>SUM(G6:G72)</f>
        <v/>
      </c>
      <c r="H73" s="17">
        <f>SUM(H6:H72)</f>
        <v/>
      </c>
      <c r="I73" s="17">
        <f>SUM(I6:I72)</f>
        <v/>
      </c>
      <c r="J73" s="17">
        <f>SUM(J6:J72)</f>
        <v/>
      </c>
      <c r="K73" s="17">
        <f>SUM(K6:K72)</f>
        <v/>
      </c>
      <c r="L73" s="17">
        <f>SUM(L6:L72)</f>
        <v/>
      </c>
      <c r="M73" s="18">
        <f>IFERROR(SUM(E73:L73)/(8*D73),0)</f>
        <v/>
      </c>
      <c r="N73" s="17">
        <f>SUM(N6:N72)</f>
        <v/>
      </c>
      <c r="O73" s="17">
        <f>SUM(O6:O72)</f>
        <v/>
      </c>
      <c r="P73" s="17">
        <f>SUM(P6:P72)</f>
        <v/>
      </c>
      <c r="Q73" s="17">
        <f>SUM(Q6:Q72)</f>
        <v/>
      </c>
      <c r="R73" s="17">
        <f>SUM(R6:R72)</f>
        <v/>
      </c>
      <c r="S73" s="17">
        <f>SUM(S6:S72)</f>
        <v/>
      </c>
      <c r="T73" s="17">
        <f>SUM(T6:T72)</f>
        <v/>
      </c>
      <c r="U73" s="17">
        <f>SUM(U6:U72)</f>
        <v/>
      </c>
      <c r="V73" s="18">
        <f>IFERROR(SUM(Q73:U73)/(5*P73),0)</f>
        <v/>
      </c>
      <c r="W73" s="16" t="n"/>
      <c r="X73" s="17">
        <f>SUM(X6:X72)</f>
        <v/>
      </c>
      <c r="Y73" s="17">
        <f>IF(X73=0,"",X73-P73)</f>
        <v/>
      </c>
      <c r="Z73" s="16" t="n"/>
    </row>
  </sheetData>
  <autoFilter ref="A5:Z72"/>
  <mergeCells count="4">
    <mergeCell ref="D4:N4"/>
    <mergeCell ref="A4:C4"/>
    <mergeCell ref="O4:V4"/>
    <mergeCell ref="W4:Z4"/>
  </mergeCells>
  <conditionalFormatting sqref="M6:M72">
    <cfRule type="colorScale" priority="1">
      <colorScale>
        <cfvo type="num" val="0"/>
        <cfvo type="num" val="0.5"/>
        <cfvo type="num" val="1"/>
        <color rgb="00F8D7DA"/>
        <color rgb="00FFF4CC"/>
        <color rgb="00D4EDDA"/>
      </colorScale>
    </cfRule>
  </conditionalFormatting>
  <conditionalFormatting sqref="V6:V72">
    <cfRule type="colorScale" priority="2">
      <colorScale>
        <cfvo type="num" val="0"/>
        <cfvo type="num" val="0.5"/>
        <cfvo type="num" val="1"/>
        <color rgb="00F8D7DA"/>
        <color rgb="00FFF4CC"/>
        <color rgb="00D4EDDA"/>
      </colorScale>
    </cfRule>
  </conditionalFormatting>
  <dataValidations count="1">
    <dataValidation sqref="W6:W72" showDropDown="0" showInputMessage="0" showErrorMessage="0" allowBlank="1" type="list">
      <formula1>"Not started,Manual list,Discovering,Discovered,Imported,Live,Excluded"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Summary</t>
        </is>
      </c>
    </row>
    <row r="3">
      <c r="A3" s="19" t="inlineStr">
        <is>
          <t>Current database</t>
        </is>
      </c>
      <c r="B3" s="20" t="n"/>
    </row>
    <row r="4">
      <c r="A4" s="21" t="inlineStr">
        <is>
          <t>Businesses in database</t>
        </is>
      </c>
      <c r="B4" s="22">
        <f>Tracker!D73</f>
        <v/>
      </c>
    </row>
    <row r="5">
      <c r="A5" s="21" t="inlineStr">
        <is>
          <t>…of which legacy (old scraped list, to be replaced)</t>
        </is>
      </c>
      <c r="B5" s="23" t="n">
        <v>11039</v>
      </c>
    </row>
    <row r="6">
      <c r="A6" s="21" t="inlineStr">
        <is>
          <t>DB data completeness</t>
        </is>
      </c>
      <c r="B6" s="24">
        <f>Tracker!M73</f>
        <v/>
      </c>
    </row>
    <row r="7">
      <c r="A7" s="21" t="inlineStr">
        <is>
          <t>Published reviews</t>
        </is>
      </c>
      <c r="B7" s="22">
        <f>Tracker!N73</f>
        <v/>
      </c>
    </row>
    <row r="8">
      <c r="A8" s="21" t="inlineStr">
        <is>
          <t>Categories with businesses</t>
        </is>
      </c>
      <c r="B8" s="22">
        <f>COUNTIF(Tracker!D6:D72,"&gt;0")</f>
        <v/>
      </c>
    </row>
    <row r="9"/>
    <row r="10">
      <c r="A10" s="19" t="inlineStr">
        <is>
          <t>SerpAPI discovery</t>
        </is>
      </c>
      <c r="B10" s="20" t="n"/>
    </row>
    <row r="11">
      <c r="A11" s="21" t="inlineStr">
        <is>
          <t>Places found (not yet imported)</t>
        </is>
      </c>
      <c r="B11" s="22">
        <f>Tracker!P73</f>
        <v/>
      </c>
    </row>
    <row r="12">
      <c r="A12" s="21" t="inlineStr">
        <is>
          <t>Discovery data completeness</t>
        </is>
      </c>
      <c r="B12" s="24">
        <f>Tracker!V73</f>
        <v/>
      </c>
    </row>
    <row r="13">
      <c r="A13" s="21" t="inlineStr">
        <is>
          <t>Categories with discovery started</t>
        </is>
      </c>
      <c r="B13" s="22">
        <f>COUNTIF(Tracker!P6:P72,"&gt;0")</f>
        <v/>
      </c>
    </row>
    <row r="14"/>
    <row r="15">
      <c r="A15" s="19" t="inlineStr">
        <is>
          <t>SerpAPI budget</t>
        </is>
      </c>
      <c r="B15" s="20" t="n"/>
    </row>
    <row r="16">
      <c r="A16" s="21" t="inlineStr">
        <is>
          <t>Monthly searches on plan</t>
        </is>
      </c>
      <c r="B16" s="23" t="n">
        <v>5000</v>
      </c>
    </row>
    <row r="17">
      <c r="A17" s="21" t="inlineStr">
        <is>
          <t>Searches spent (all runs in data/serp/)</t>
        </is>
      </c>
      <c r="B17" s="22">
        <f>Tracker!O73</f>
        <v/>
      </c>
    </row>
    <row r="18">
      <c r="A18" s="21" t="inlineStr">
        <is>
          <t>Searches left this month (SerpAPI account)</t>
        </is>
      </c>
      <c r="B18" s="23" t="n">
        <v>3986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20" customWidth="1" min="4" max="4"/>
  </cols>
  <sheetData>
    <row r="1">
      <c r="A1" s="9" t="inlineStr">
        <is>
          <t>Run</t>
        </is>
      </c>
      <c r="B1" s="9" t="inlineStr">
        <is>
          <t>Last search date</t>
        </is>
      </c>
      <c r="C1" s="9" t="inlineStr">
        <is>
          <t>Searches spent</t>
        </is>
      </c>
      <c r="D1" s="9" t="inlineStr">
        <is>
          <t>Unique places found</t>
        </is>
      </c>
    </row>
    <row r="2">
      <c r="A2" s="21" t="inlineStr">
        <is>
          <t>full-uae</t>
        </is>
      </c>
      <c r="B2" s="21" t="inlineStr">
        <is>
          <t>2026-10-21</t>
        </is>
      </c>
      <c r="C2" s="21" t="n">
        <v>917</v>
      </c>
      <c r="D2" s="21" t="n">
        <v>10776</v>
      </c>
    </row>
    <row r="3">
      <c r="A3" s="21" t="inlineStr">
        <is>
          <t>pilot-dubai</t>
        </is>
      </c>
      <c r="B3" s="21" t="inlineStr">
        <is>
          <t>2026-10-21</t>
        </is>
      </c>
      <c r="C3" s="21" t="n">
        <v>97</v>
      </c>
      <c r="D3" s="21" t="n">
        <v>1621</v>
      </c>
    </row>
    <row r="4">
      <c r="A4" s="25" t="inlineStr">
        <is>
          <t>TOTAL</t>
        </is>
      </c>
      <c r="C4" s="25">
        <f>SUM(C2:C3)</f>
        <v/>
      </c>
      <c r="D4" s="25">
        <f>SUM(D2:D3)</f>
        <v/>
      </c>
    </row>
    <row r="5">
      <c r="A5" s="2" t="inlineStr">
        <is>
          <t>Unique places per run; the Tracker deduplicates across runs, so its total can be lower.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6" t="inlineStr">
        <is>
          <t>How to read this tracker</t>
        </is>
      </c>
    </row>
    <row r="2">
      <c r="A2" s="27" t="inlineStr">
        <is>
          <t>Tracker: one row per category in the app (life moment → category). Grey/blue/green/yellow header bands group the columns.</t>
        </is>
      </c>
    </row>
    <row r="3">
      <c r="A3" s="27" t="inlineStr">
        <is>
          <t>Current database (live): businesses currently in the app and how many have each piece of data. "-" means zero.</t>
        </is>
      </c>
    </row>
    <row r="4">
      <c r="A4" s="27" t="inlineStr">
        <is>
          <t>SerpAPI discovery: businesses found on Google Maps via SerpAPI, saved locally and NOT yet imported into the app.</t>
        </is>
      </c>
    </row>
    <row r="5">
      <c r="A5" s="27" t="inlineStr">
        <is>
          <t>Completeness %: share of data fields filled. Red = mostly missing, yellow = half, green = complete.</t>
        </is>
      </c>
    </row>
    <row r="6">
      <c r="A6" s="27" t="inlineStr"/>
    </row>
    <row r="7">
      <c r="A7" s="26" t="inlineStr">
        <is>
          <t>What you can edit</t>
        </is>
      </c>
    </row>
    <row r="8">
      <c r="A8" s="27" t="inlineStr">
        <is>
          <t>Only the yellow cells in the "Plan" columns: Status (drop-down), Target # businesses, Notes. They are kept when the tracker is refreshed.</t>
        </is>
      </c>
    </row>
    <row r="9">
      <c r="A9" s="27" t="inlineStr">
        <is>
          <t>Example: Status = Discovered, Target # businesses = 400, Notes = "Skip food courts; include cloud kitchens?"</t>
        </is>
      </c>
    </row>
    <row r="10">
      <c r="A10" s="27" t="inlineStr">
        <is>
          <t>Summary → "Monthly searches on plan" (blue) is the SerpAPI plan size — change it if the plan changes.</t>
        </is>
      </c>
    </row>
    <row r="11">
      <c r="A11" s="27" t="inlineStr"/>
    </row>
    <row r="12">
      <c r="A12" s="26" t="inlineStr">
        <is>
          <t>How to refresh</t>
        </is>
      </c>
    </row>
    <row r="13">
      <c r="A13" s="27" t="inlineStr">
        <is>
          <t>Ask Claude to "refresh the data tracker", or run: python scripts/data_tracker.py (in the reviewencer folder).</t>
        </is>
      </c>
    </row>
    <row r="14">
      <c r="A14" s="27" t="inlineStr"/>
    </row>
    <row r="15">
      <c r="A15" s="26" t="inlineStr">
        <is>
          <t>Notes</t>
        </is>
      </c>
    </row>
    <row r="16">
      <c r="A16" s="27" t="inlineStr">
        <is>
          <t>All 11,039 businesses currently in the database are the legacy scraped list (source = legacy_import), due to be replaced by the rebuild.</t>
        </is>
      </c>
    </row>
    <row r="17">
      <c r="A17" s="27" t="inlineStr">
        <is>
          <t>Google ratings/review counts are used only to filter and rank discovery results; they are never shown as Reviewencer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2026-10-21T07:52:28Z</dcterms:created>
  <dcterms:modified xsi:type="dcterms:W3CDTF">2026-10-21T07:52:29Z</dcterms:modified>
</cp:coreProperties>
</file>